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512" windowHeight="12588" tabRatio="735"/>
  </bookViews>
  <sheets>
    <sheet name="pos_pince" sheetId="7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C1" i="7" l="1"/>
  <c r="B1" i="7"/>
  <c r="C17" i="7" l="1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C3" i="7"/>
  <c r="B3" i="7"/>
  <c r="C2" i="7"/>
  <c r="B2" i="7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sition_actionneu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s"/>
      <sheetName val="pince"/>
      <sheetName val="colonnes"/>
      <sheetName val="bascule"/>
      <sheetName val="pos._bras_G"/>
      <sheetName val="pos._bras_R"/>
      <sheetName val="pos._pince"/>
      <sheetName val="pos._colonnes"/>
      <sheetName val="pos._bascule"/>
    </sheetNames>
    <sheetDataSet>
      <sheetData sheetId="0"/>
      <sheetData sheetId="1">
        <row r="1">
          <cell r="D1" t="str">
            <v>pince</v>
          </cell>
          <cell r="E1"/>
          <cell r="F1" t="str">
            <v>Delta</v>
          </cell>
          <cell r="G1"/>
        </row>
        <row r="2">
          <cell r="B2"/>
          <cell r="C2"/>
          <cell r="D2" t="str">
            <v>leveur</v>
          </cell>
          <cell r="E2" t="str">
            <v>mors</v>
          </cell>
          <cell r="F2" t="str">
            <v>leveur</v>
          </cell>
          <cell r="G2" t="str">
            <v>mors</v>
          </cell>
        </row>
        <row r="3">
          <cell r="D3">
            <v>94</v>
          </cell>
          <cell r="E3">
            <v>40000</v>
          </cell>
        </row>
        <row r="4">
          <cell r="D4">
            <v>860</v>
          </cell>
          <cell r="E4">
            <v>33500</v>
          </cell>
        </row>
        <row r="5">
          <cell r="D5">
            <v>94</v>
          </cell>
          <cell r="E5">
            <v>40000</v>
          </cell>
        </row>
        <row r="6">
          <cell r="B6"/>
          <cell r="C6"/>
          <cell r="D6">
            <v>860</v>
          </cell>
          <cell r="E6">
            <v>33500</v>
          </cell>
          <cell r="F6"/>
        </row>
        <row r="7">
          <cell r="B7"/>
          <cell r="C7"/>
          <cell r="D7">
            <v>477</v>
          </cell>
          <cell r="E7">
            <v>36750</v>
          </cell>
          <cell r="F7"/>
        </row>
        <row r="8">
          <cell r="B8" t="str">
            <v>num position</v>
          </cell>
          <cell r="C8" t="str">
            <v>position de ref</v>
          </cell>
        </row>
        <row r="9">
          <cell r="B9">
            <v>0</v>
          </cell>
          <cell r="D9">
            <v>115</v>
          </cell>
          <cell r="E9">
            <v>33700</v>
          </cell>
        </row>
        <row r="12">
          <cell r="B12">
            <v>1</v>
          </cell>
          <cell r="C12">
            <v>0</v>
          </cell>
          <cell r="D12">
            <v>115</v>
          </cell>
          <cell r="E12">
            <v>33500</v>
          </cell>
          <cell r="F12"/>
          <cell r="G12">
            <v>-200</v>
          </cell>
        </row>
        <row r="13">
          <cell r="B13">
            <v>2</v>
          </cell>
          <cell r="C13">
            <v>1</v>
          </cell>
          <cell r="D13">
            <v>115</v>
          </cell>
          <cell r="E13">
            <v>37200</v>
          </cell>
          <cell r="G13">
            <v>3700</v>
          </cell>
        </row>
        <row r="14">
          <cell r="B14">
            <v>3</v>
          </cell>
          <cell r="C14">
            <v>2</v>
          </cell>
          <cell r="D14">
            <v>860</v>
          </cell>
          <cell r="E14">
            <v>37400</v>
          </cell>
          <cell r="F14">
            <v>745</v>
          </cell>
          <cell r="G14">
            <v>200</v>
          </cell>
        </row>
        <row r="15">
          <cell r="B15">
            <v>4</v>
          </cell>
          <cell r="C15">
            <v>3</v>
          </cell>
          <cell r="D15">
            <v>860</v>
          </cell>
          <cell r="E15">
            <v>36000</v>
          </cell>
          <cell r="G15">
            <v>-1400</v>
          </cell>
        </row>
        <row r="16">
          <cell r="B16">
            <v>5</v>
          </cell>
          <cell r="C16">
            <v>4</v>
          </cell>
          <cell r="D16">
            <v>115</v>
          </cell>
          <cell r="E16">
            <v>36000</v>
          </cell>
          <cell r="F16">
            <v>-745</v>
          </cell>
        </row>
        <row r="19">
          <cell r="B19">
            <v>11</v>
          </cell>
          <cell r="C19">
            <v>0</v>
          </cell>
          <cell r="D19">
            <v>810</v>
          </cell>
          <cell r="E19">
            <v>33700</v>
          </cell>
          <cell r="F19">
            <v>695</v>
          </cell>
          <cell r="G19"/>
        </row>
        <row r="20">
          <cell r="B20">
            <v>12</v>
          </cell>
          <cell r="C20">
            <v>11</v>
          </cell>
          <cell r="D20">
            <v>810</v>
          </cell>
          <cell r="E20">
            <v>34330</v>
          </cell>
          <cell r="F20">
            <v>0</v>
          </cell>
          <cell r="G20">
            <v>630</v>
          </cell>
        </row>
        <row r="21">
          <cell r="F21"/>
          <cell r="G21"/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7"/>
  <sheetViews>
    <sheetView tabSelected="1" workbookViewId="0">
      <selection activeCell="C1" sqref="C1"/>
    </sheetView>
  </sheetViews>
  <sheetFormatPr baseColWidth="10" defaultRowHeight="14.4" x14ac:dyDescent="0.3"/>
  <sheetData>
    <row r="1" spans="1:3" x14ac:dyDescent="0.3">
      <c r="A1">
        <v>0</v>
      </c>
      <c r="B1">
        <f>IFERROR(VLOOKUP($A1,[1]pince!$B:$G,3,FALSE),[1]pince!D$7)</f>
        <v>115</v>
      </c>
      <c r="C1">
        <f>IFERROR(VLOOKUP($A1,[1]pince!$B:$G,4,FALSE),[1]pince!E$7)</f>
        <v>33700</v>
      </c>
    </row>
    <row r="2" spans="1:3" x14ac:dyDescent="0.3">
      <c r="A2">
        <v>1</v>
      </c>
      <c r="B2">
        <f>IFERROR(VLOOKUP($A2,[1]pince!$B:$G,3,FALSE),[1]pince!D$7)</f>
        <v>115</v>
      </c>
      <c r="C2">
        <f>IFERROR(VLOOKUP($A2,[1]pince!$B:$G,4,FALSE),[1]pince!E$7)</f>
        <v>33500</v>
      </c>
    </row>
    <row r="3" spans="1:3" x14ac:dyDescent="0.3">
      <c r="A3">
        <v>2</v>
      </c>
      <c r="B3">
        <f>IFERROR(VLOOKUP($A3,[1]pince!$B:$G,3,FALSE),[1]pince!D$7)</f>
        <v>115</v>
      </c>
      <c r="C3">
        <f>IFERROR(VLOOKUP($A3,[1]pince!$B:$G,4,FALSE),[1]pince!E$7)</f>
        <v>37200</v>
      </c>
    </row>
    <row r="4" spans="1:3" x14ac:dyDescent="0.3">
      <c r="A4">
        <v>3</v>
      </c>
      <c r="B4">
        <f>IFERROR(VLOOKUP($A4,[1]pince!$B:$G,3,FALSE),[1]pince!D$7)</f>
        <v>860</v>
      </c>
      <c r="C4">
        <f>IFERROR(VLOOKUP($A4,[1]pince!$B:$G,4,FALSE),[1]pince!E$7)</f>
        <v>37400</v>
      </c>
    </row>
    <row r="5" spans="1:3" x14ac:dyDescent="0.3">
      <c r="A5">
        <v>4</v>
      </c>
      <c r="B5">
        <f>IFERROR(VLOOKUP($A5,[1]pince!$B:$G,3,FALSE),[1]pince!D$7)</f>
        <v>860</v>
      </c>
      <c r="C5">
        <f>IFERROR(VLOOKUP($A5,[1]pince!$B:$G,4,FALSE),[1]pince!E$7)</f>
        <v>36000</v>
      </c>
    </row>
    <row r="6" spans="1:3" x14ac:dyDescent="0.3">
      <c r="A6">
        <v>5</v>
      </c>
      <c r="B6">
        <f>IFERROR(VLOOKUP($A6,[1]pince!$B:$G,3,FALSE),[1]pince!D$7)</f>
        <v>115</v>
      </c>
      <c r="C6">
        <f>IFERROR(VLOOKUP($A6,[1]pince!$B:$G,4,FALSE),[1]pince!E$7)</f>
        <v>36000</v>
      </c>
    </row>
    <row r="7" spans="1:3" x14ac:dyDescent="0.3">
      <c r="A7">
        <v>6</v>
      </c>
      <c r="B7">
        <f>IFERROR(VLOOKUP($A7,[1]pince!$B:$G,3,FALSE),[1]pince!D$7)</f>
        <v>477</v>
      </c>
      <c r="C7">
        <f>IFERROR(VLOOKUP($A7,[1]pince!$B:$G,4,FALSE),[1]pince!E$7)</f>
        <v>36750</v>
      </c>
    </row>
    <row r="8" spans="1:3" x14ac:dyDescent="0.3">
      <c r="A8">
        <v>7</v>
      </c>
      <c r="B8">
        <f>IFERROR(VLOOKUP($A8,[1]pince!$B:$G,3,FALSE),[1]pince!D$7)</f>
        <v>477</v>
      </c>
      <c r="C8">
        <f>IFERROR(VLOOKUP($A8,[1]pince!$B:$G,4,FALSE),[1]pince!E$7)</f>
        <v>36750</v>
      </c>
    </row>
    <row r="9" spans="1:3" x14ac:dyDescent="0.3">
      <c r="A9">
        <v>8</v>
      </c>
      <c r="B9">
        <f>IFERROR(VLOOKUP($A9,[1]pince!$B:$G,3,FALSE),[1]pince!D$7)</f>
        <v>477</v>
      </c>
      <c r="C9">
        <f>IFERROR(VLOOKUP($A9,[1]pince!$B:$G,4,FALSE),[1]pince!E$7)</f>
        <v>36750</v>
      </c>
    </row>
    <row r="10" spans="1:3" x14ac:dyDescent="0.3">
      <c r="A10">
        <v>9</v>
      </c>
      <c r="B10">
        <f>IFERROR(VLOOKUP($A10,[1]pince!$B:$G,3,FALSE),[1]pince!D$7)</f>
        <v>477</v>
      </c>
      <c r="C10">
        <f>IFERROR(VLOOKUP($A10,[1]pince!$B:$G,4,FALSE),[1]pince!E$7)</f>
        <v>36750</v>
      </c>
    </row>
    <row r="11" spans="1:3" x14ac:dyDescent="0.3">
      <c r="A11">
        <v>10</v>
      </c>
      <c r="B11">
        <f>IFERROR(VLOOKUP($A11,[1]pince!$B:$G,3,FALSE),[1]pince!D$7)</f>
        <v>477</v>
      </c>
      <c r="C11">
        <f>IFERROR(VLOOKUP($A11,[1]pince!$B:$G,4,FALSE),[1]pince!E$7)</f>
        <v>36750</v>
      </c>
    </row>
    <row r="12" spans="1:3" x14ac:dyDescent="0.3">
      <c r="A12">
        <v>11</v>
      </c>
      <c r="B12">
        <f>IFERROR(VLOOKUP($A12,[1]pince!$B:$G,3,FALSE),[1]pince!D$7)</f>
        <v>810</v>
      </c>
      <c r="C12">
        <f>IFERROR(VLOOKUP($A12,[1]pince!$B:$G,4,FALSE),[1]pince!E$7)</f>
        <v>33700</v>
      </c>
    </row>
    <row r="13" spans="1:3" x14ac:dyDescent="0.3">
      <c r="A13">
        <v>12</v>
      </c>
      <c r="B13">
        <f>IFERROR(VLOOKUP($A13,[1]pince!$B:$G,3,FALSE),[1]pince!D$7)</f>
        <v>810</v>
      </c>
      <c r="C13">
        <f>IFERROR(VLOOKUP($A13,[1]pince!$B:$G,4,FALSE),[1]pince!E$7)</f>
        <v>34330</v>
      </c>
    </row>
    <row r="14" spans="1:3" x14ac:dyDescent="0.3">
      <c r="A14">
        <v>13</v>
      </c>
      <c r="B14">
        <f>IFERROR(VLOOKUP($A14,[1]pince!$B:$G,3,FALSE),[1]pince!D$7)</f>
        <v>477</v>
      </c>
      <c r="C14">
        <f>IFERROR(VLOOKUP($A14,[1]pince!$B:$G,4,FALSE),[1]pince!E$7)</f>
        <v>36750</v>
      </c>
    </row>
    <row r="15" spans="1:3" x14ac:dyDescent="0.3">
      <c r="A15">
        <v>14</v>
      </c>
      <c r="B15">
        <f>IFERROR(VLOOKUP($A15,[1]pince!$B:$G,3,FALSE),[1]pince!D$7)</f>
        <v>477</v>
      </c>
      <c r="C15">
        <f>IFERROR(VLOOKUP($A15,[1]pince!$B:$G,4,FALSE),[1]pince!E$7)</f>
        <v>36750</v>
      </c>
    </row>
    <row r="16" spans="1:3" x14ac:dyDescent="0.3">
      <c r="A16">
        <v>15</v>
      </c>
      <c r="B16">
        <f>IFERROR(VLOOKUP($A16,[1]pince!$B:$G,3,FALSE),[1]pince!D$7)</f>
        <v>477</v>
      </c>
      <c r="C16">
        <f>IFERROR(VLOOKUP($A16,[1]pince!$B:$G,4,FALSE),[1]pince!E$7)</f>
        <v>36750</v>
      </c>
    </row>
    <row r="17" spans="1:3" x14ac:dyDescent="0.3">
      <c r="A17">
        <v>16</v>
      </c>
      <c r="B17">
        <f>IFERROR(VLOOKUP($A17,[1]pince!$B:$G,3,FALSE),[1]pince!D$7)</f>
        <v>477</v>
      </c>
      <c r="C17">
        <f>IFERROR(VLOOKUP($A17,[1]pince!$B:$G,4,FALSE),[1]pince!E$7)</f>
        <v>36750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pos_pince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 Caron</cp:lastModifiedBy>
  <dcterms:created xsi:type="dcterms:W3CDTF">2018-02-15T10:35:49Z</dcterms:created>
  <dcterms:modified xsi:type="dcterms:W3CDTF">2018-06-07T22:21:45Z</dcterms:modified>
</cp:coreProperties>
</file>